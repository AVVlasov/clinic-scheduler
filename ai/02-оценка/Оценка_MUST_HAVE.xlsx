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ценка проекта" sheetId="1" state="visible" r:id="rId3"/>
    <sheet name="Оценка стоимости" sheetId="2" state="visible" r:id="rId4"/>
    <sheet name="Оценка AI-OPEX" sheetId="3" state="visible" r:id="rId5"/>
    <sheet name="Оценка трудозатрат" sheetId="4" state="visible" r:id="rId6"/>
    <sheet name="Роли" sheetId="5" state="visible" r:id="rId7"/>
    <sheet name="Ставки людей" sheetId="6" state="visible" r:id="rId8"/>
    <sheet name="Не входит в объём" sheetId="7" state="visible" r:id="rId9"/>
    <sheet name="График" sheetId="8" state="visible" r:id="rId10"/>
  </sheets>
  <definedNames>
    <definedName function="false" hidden="false" localSheetId="0" name="_xlnm.Print_Area" vbProcedure="false">'Оценка проекта'!$A$1:$H$32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<sst xmlns="http://schemas.openxmlformats.org/spreadsheetml/2006/main" count="218" uniqueCount="165">
  <si>
    <t xml:space="preserve">Компонент</t>
  </si>
  <si>
    <t xml:space="preserve">Сумма, ₽</t>
  </si>
  <si>
    <t xml:space="preserve">Разработка + резерв</t>
  </si>
  <si>
    <t xml:space="preserve">AI‑OPEX (Claude Opus + MiniMax)</t>
  </si>
  <si>
    <t xml:space="preserve">подытог</t>
  </si>
  <si>
    <t xml:space="preserve">НДС 5%</t>
  </si>
  <si>
    <t xml:space="preserve">ИТОГО проект MUST HAVE, руб</t>
  </si>
  <si>
    <t xml:space="preserve">Объём: 118 требований ФТ, целевая архитектура CQRS, 46 клиник, 5442 врача.</t>
  </si>
  <si>
    <t xml:space="preserve">Не входит: миграция с 1С, аттестация ИСПДн, инфраструктура, лист ожидания, история лечения. См. лист «Не входит в объём».</t>
  </si>
  <si>
    <t xml:space="preserve">Срок по договору: 11,3 месяца — подготовка 1,5, разработка 6,8, опытная эксплуатация 3,0.</t>
  </si>
  <si>
    <t xml:space="preserve">Команда: 5 фуллстек-билдеров, 1 инженер внедрения, руководитель проекта на половине ставки.</t>
  </si>
  <si>
    <t xml:space="preserve">Роль</t>
  </si>
  <si>
    <t xml:space="preserve">Уровень</t>
  </si>
  <si>
    <t xml:space="preserve">Часы</t>
  </si>
  <si>
    <t xml:space="preserve">Ставка (₽/ч)</t>
  </si>
  <si>
    <t xml:space="preserve">Стоимость (₽)</t>
  </si>
  <si>
    <t xml:space="preserve">Fullstack Builder</t>
  </si>
  <si>
    <t xml:space="preserve">Senior</t>
  </si>
  <si>
    <t xml:space="preserve">Приёмка и склейка</t>
  </si>
  <si>
    <t xml:space="preserve">Инженер внедрения</t>
  </si>
  <si>
    <t xml:space="preserve">Middle</t>
  </si>
  <si>
    <t xml:space="preserve">Руководитель проекта</t>
  </si>
  <si>
    <t xml:space="preserve">ИТОГО (средние ставки)</t>
  </si>
  <si>
    <t xml:space="preserve">резерв</t>
  </si>
  <si>
    <t xml:space="preserve">сумма с резервом</t>
  </si>
  <si>
    <t xml:space="preserve">Резерв 12% — на изменение требований при 118 пунктах ФТ. Это не маржа.</t>
  </si>
  <si>
    <t xml:space="preserve">Себестоимость 12,3 млн ₽. При неизрасходованном резерве валовая маржа 23%.</t>
  </si>
  <si>
    <t xml:space="preserve">Ставка 3 600 ₽/ч — базовая для дополнительных работ по соглашениям сторон.</t>
  </si>
  <si>
    <t xml:space="preserve">Статья</t>
  </si>
  <si>
    <t xml:space="preserve">Период</t>
  </si>
  <si>
    <t xml:space="preserve">Сумма, $</t>
  </si>
  <si>
    <t xml:space="preserve">Курс</t>
  </si>
  <si>
    <t xml:space="preserve">Claude Max ×5 (Opus как судья и приёмка)</t>
  </si>
  <si>
    <t xml:space="preserve">8,3 мес работ</t>
  </si>
  <si>
    <t xml:space="preserve">MiniMax 24/7 (основная генерация)</t>
  </si>
  <si>
    <t xml:space="preserve">Браузерный контур агентов, прокси</t>
  </si>
  <si>
    <t xml:space="preserve">Резерв на рост использования</t>
  </si>
  <si>
    <t xml:space="preserve">–</t>
  </si>
  <si>
    <t xml:space="preserve">Итого AI‑OPEX</t>
  </si>
  <si>
    <t xml:space="preserve">Курс ЦБ РФ на 1 августа 2026. Подписки посчитаны на объём работ. Растяжку графика покрывает резерв 25%.</t>
  </si>
  <si>
    <t xml:space="preserve">Этап / Модуль</t>
  </si>
  <si>
    <t xml:space="preserve">Ключевые задачи</t>
  </si>
  <si>
    <t xml:space="preserve">Оценка (часы)</t>
  </si>
  <si>
    <t xml:space="preserve">Основные исполнители</t>
  </si>
  <si>
    <t xml:space="preserve">1. Фундамент и безопасность</t>
  </si>
  <si>
    <t xml:space="preserve">Каркас платформы, шаблоны сервисов, CI/CD в контуре заказчика, observability.</t>
  </si>
  <si>
    <t xml:space="preserve">ИИ-агенты + Builder (ревью)</t>
  </si>
  <si>
    <t xml:space="preserve">Authn/authz, RBAC, шифрование ПДн при передаче и хранении, работа с секретами.</t>
  </si>
  <si>
    <t xml:space="preserve">Builder, ИИ-агенты</t>
  </si>
  <si>
    <t xml:space="preserve">Zero-downtime, blue-green, миграции схемы без простоя под SLA 99,99%.</t>
  </si>
  <si>
    <t xml:space="preserve">Builder</t>
  </si>
  <si>
    <t xml:space="preserve">Синтетические данные для dev/stage, обезличивание.</t>
  </si>
  <si>
    <t xml:space="preserve">ИИ-агенты</t>
  </si>
  <si>
    <t xml:space="preserve">2. Administration (НСИ)</t>
  </si>
  <si>
    <t xml:space="preserve">Услуги и цены, врачи с мультиспециализацией, специальности и синонимы, клиники и кабинеты.</t>
  </si>
  <si>
    <t xml:space="preserve">Матрица «врач — услуга — оборудование», правила длительности, связанные и обязательные услуги.</t>
  </si>
  <si>
    <t xml:space="preserve">Репликация картотеки пациентов из МИС.</t>
  </si>
  <si>
    <t xml:space="preserve">3. Schedule (сетка)</t>
  </si>
  <si>
    <t xml:space="preserve">Создание и копирование расписаний врачей и оборудования, отсутствия, праздники, блокировки.</t>
  </si>
  <si>
    <t xml:space="preserve">Зависимые расписания (работа в паре, оборудование как ресурс), снос расписания с перезаписью.</t>
  </si>
  <si>
    <t xml:space="preserve">Просмотр сетки с записями, оптимизация отклика до 1 секунды.</t>
  </si>
  <si>
    <t xml:space="preserve">4. Timeslots</t>
  </si>
  <si>
    <t xml:space="preserve">Движок нарезки слотов: произвольная длительность, техперерывы, ВНД.</t>
  </si>
  <si>
    <t xml:space="preserve">Read-модель, денормализация, синхронизация write→read не более 5 секунд.</t>
  </si>
  <si>
    <t xml:space="preserve">Поиск свободных слотов до 0,5 секунды, индексы и оптимизация под 200+ RPS.</t>
  </si>
  <si>
    <t xml:space="preserve">5. Appointment (запись)</t>
  </si>
  <si>
    <t xml:space="preserve">Доменная модель записи, статусы, история, проверка доступности всех ресурсов на всё время услуги.</t>
  </si>
  <si>
    <t xml:space="preserve">Многослотовые записи, сценарии брони оборудования, пересечения, первичные слоты, маломобильные.</t>
  </si>
  <si>
    <t xml:space="preserve">ИИ-агенты + Builder</t>
  </si>
  <si>
    <t xml:space="preserve">Отмена и перенос, проверка предшествующих услуг, бронь слота с TTL.</t>
  </si>
  <si>
    <t xml:space="preserve">Конкурентность, идемпотентность, черновики записи при отказе сервиса.</t>
  </si>
  <si>
    <t xml:space="preserve">6. Клиенты</t>
  </si>
  <si>
    <t xml:space="preserve">Проекция картотеки, контакты, подтверждение телефона, записи и заявки пациента.</t>
  </si>
  <si>
    <t xml:space="preserve">8. Cross-cutting</t>
  </si>
  <si>
    <t xml:space="preserve">RBAC по площадкам, аудит изменений с глубиной хранения 2–3 года.</t>
  </si>
  <si>
    <t xml:space="preserve">9. Фронтенд</t>
  </si>
  <si>
    <t xml:space="preserve">Дизайн-система из design.md, макеты всех экранов, сборка базового АРМ.</t>
  </si>
  <si>
    <t xml:space="preserve">Claude Design + Builder</t>
  </si>
  <si>
    <t xml:space="preserve">10. Интеграции</t>
  </si>
  <si>
    <t xml:space="preserve">Schedule API Gateway и Timeslots API Gateway в DMZ, публикация контрактов, rate limit.</t>
  </si>
  <si>
    <t xml:space="preserve">11. Документация</t>
  </si>
  <si>
    <t xml:space="preserve">Контракты API и эксплуатационная документация — только то, что заказчик назвал прямо.</t>
  </si>
  <si>
    <t xml:space="preserve">12. Приёмка</t>
  </si>
  <si>
    <t xml:space="preserve">Нагрузочные прогоны: 2 цикла оптимизации под 200 RPS и целевые отклики.</t>
  </si>
  <si>
    <t xml:space="preserve">Автоматический набор проверок соответствия по 118 требованиям ФТ, отчёт по кнопке.</t>
  </si>
  <si>
    <t xml:space="preserve">Выборочная человеческая приёмка требований: то, что харнесс не ловит.</t>
  </si>
  <si>
    <t xml:space="preserve">Приёмо-сдаточные испытания на одном филиале.</t>
  </si>
  <si>
    <t xml:space="preserve">13. Передача</t>
  </si>
  <si>
    <t xml:space="preserve">Передача артефактов и знаний по итогам опытной эксплуатации.</t>
  </si>
  <si>
    <t xml:space="preserve">14. Оркестрация</t>
  </si>
  <si>
    <t xml:space="preserve">Инженерия контекста и графа задач, разбор брака и конфликтов между агентами.</t>
  </si>
  <si>
    <t xml:space="preserve">15. Управление проектом</t>
  </si>
  <si>
    <t xml:space="preserve">Согласования с заказчиком, акты, приёмочные процедуры, отчётность.</t>
  </si>
  <si>
    <t xml:space="preserve">Итого:</t>
  </si>
  <si>
    <t xml:space="preserve">Часы — человеческие. Машинное время агентов в них не входит: оно учтено на листе «Оценка AI-OPEX».</t>
  </si>
  <si>
    <t xml:space="preserve">% от проекта</t>
  </si>
  <si>
    <t xml:space="preserve">Fullstack Builder (разработка и ядро)</t>
  </si>
  <si>
    <t xml:space="preserve">Fullstack Builder (приёмка, оркестрация)</t>
  </si>
  <si>
    <t xml:space="preserve">Инженер внедрения (ПСИ, передача)</t>
  </si>
  <si>
    <t xml:space="preserve">ИТОГО</t>
  </si>
  <si>
    <t xml:space="preserve">Ролей четыре вместо двенадцати: тестирование, аналитика, документация и дизайн выполняются агентами.</t>
  </si>
  <si>
    <t xml:space="preserve">Средняя</t>
  </si>
  <si>
    <t xml:space="preserve">Свои лояльные разработчики, фиксированная почасовка. Себестоимость билдера 3 000 ₽/ч, инженера внедрения 1 250 ₽/ч.</t>
  </si>
  <si>
    <t xml:space="preserve">Работа</t>
  </si>
  <si>
    <t xml:space="preserve">Часы по классической оценке</t>
  </si>
  <si>
    <t xml:space="preserve">Основание</t>
  </si>
  <si>
    <t xml:space="preserve">Лист ожидания и заявки: автоподбор, автопредложение, улучшение даты</t>
  </si>
  <si>
    <t xml:space="preserve">Вынесено во второй этап. FAQ: «автоматизированный подбор обсуждаемо с MVP» — заказчик сам допускает перенос</t>
  </si>
  <si>
    <t xml:space="preserve">История лечения: повторный визит, связанные визиты, контроль сроков</t>
  </si>
  <si>
    <t xml:space="preserve">Вынесено во второй этап. Не входит в ядро записи</t>
  </si>
  <si>
    <t xml:space="preserve">Опытная эксплуатация: первая линия подрядчика</t>
  </si>
  <si>
    <t xml:space="preserve">Не убрана, а переведена на почасовую оплату по факту заявок: 1 535 ч × 1 600 ₽ = 2 456 000 ₽ при полной выборке. Объём обращений заранее неизвестен, фиксировать его невыгодно обеим сторонам</t>
  </si>
  <si>
    <t xml:space="preserve">Нагрузочное тестирование: циклы 3–5</t>
  </si>
  <si>
    <t xml:space="preserve">Сокращено до двух циклов. Остальные — в период опытной эксплуатации, на реальном профиле</t>
  </si>
  <si>
    <t xml:space="preserve">Миграция с 1С: реверс-инжиниринг Schedule и Appointment, маршруты WSO2</t>
  </si>
  <si>
    <t xml:space="preserve">Требования на миграцию нет ни в ФТ, ни в FAQ. В концепции целевой архитектуры миграция названа риском на слайде «последствия», объём не задан</t>
  </si>
  <si>
    <t xml:space="preserve">Перенос исторических данных, ETL</t>
  </si>
  <si>
    <t xml:space="preserve">Требования нет</t>
  </si>
  <si>
    <t xml:space="preserve">Двусторонняя синхронизация на переходный период</t>
  </si>
  <si>
    <t xml:space="preserve">Требования на параллельную работу двух систем нет</t>
  </si>
  <si>
    <t xml:space="preserve">Реконсиляция, отчёты расхождений, прогоны переключения</t>
  </si>
  <si>
    <t xml:space="preserve">Вычеркнуто вместе с миграцией</t>
  </si>
  <si>
    <t xml:space="preserve">Выверка и чистка НСИ из 1С</t>
  </si>
  <si>
    <t xml:space="preserve">Волны cutover по 46 клиникам, откаты</t>
  </si>
  <si>
    <t xml:space="preserve">Аттестация ИСПДн, пентест, СКЗИ</t>
  </si>
  <si>
    <t xml:space="preserve">Слово «аттестация» встречается в рефах один раз — в нашем же вопросе заказчику. Его ответ: «если будут реальные данные – то 152-ФЗ должно выполняться, ПДн шифровать при передаче и хранении». Шифрование входит в объём, аттестация — нет</t>
  </si>
  <si>
    <t xml:space="preserve">Стенды, нагрузочный контур, DR-площадка</t>
  </si>
  <si>
    <t xml:space="preserve">—</t>
  </si>
  <si>
    <t xml:space="preserve">FAQ п.4: «Кто отвечает за инфраструктуру, Kubernetes, Helm-чарты?» — «Департамент инфраструктуры заказчика». Подрядчик катит только в dev</t>
  </si>
  <si>
    <t xml:space="preserve">Доработка систем-потребителей</t>
  </si>
  <si>
    <t xml:space="preserve">FAQ: «внешние потребители должны будут переработать интеграции». Наше — опубликовать API</t>
  </si>
  <si>
    <t xml:space="preserve">Интеграция с Базой знаний</t>
  </si>
  <si>
    <t xml:space="preserve">FAQ: «Базу Знаний в целевом решении не используем»</t>
  </si>
  <si>
    <t xml:space="preserve">Маркетинговые рассылки, уведомления по анализам</t>
  </si>
  <si>
    <t xml:space="preserve">FAQ: «не входит в MVP, реализуется в рамках отдельного сервиса»</t>
  </si>
  <si>
    <t xml:space="preserve">Автоматический оптимизатор маршрута в корзине</t>
  </si>
  <si>
    <t xml:space="preserve">FAQ: «В MVP автоматический оптимизатор не закладываем», нужна только возможность на будущее</t>
  </si>
  <si>
    <t xml:space="preserve">Обучение сотрудников заказчика</t>
  </si>
  <si>
    <t xml:space="preserve">В концепции заказчика снижение затрат на обучение — их выгода от проекта, а не обязанность подрядчика</t>
  </si>
  <si>
    <t xml:space="preserve">ИТОГО снято</t>
  </si>
  <si>
    <t xml:space="preserve">Миграцию и аттестацию предлагать отдельными этапами по отдельному ТЗ, а не растворять в цене.</t>
  </si>
  <si>
    <t xml:space="preserve">Фаза</t>
  </si>
  <si>
    <t xml:space="preserve">Длительность</t>
  </si>
  <si>
    <t xml:space="preserve">Что происходит</t>
  </si>
  <si>
    <t xml:space="preserve">Подготовка</t>
  </si>
  <si>
    <t xml:space="preserve">1,5 мес</t>
  </si>
  <si>
    <t xml:space="preserve">Техническое задание по 118 требованиям, получение доступов к контурам заказчика, целевая архитектура и ADR</t>
  </si>
  <si>
    <t xml:space="preserve">Разработка</t>
  </si>
  <si>
    <t xml:space="preserve">6,8 мес</t>
  </si>
  <si>
    <t xml:space="preserve">Пять билдеров и агентная фабрика. Объём работ — 3 715 человеко-часов</t>
  </si>
  <si>
    <t xml:space="preserve">Опытная эксплуатация</t>
  </si>
  <si>
    <t xml:space="preserve">3,0 мес</t>
  </si>
  <si>
    <t xml:space="preserve">Первая линия подрядчика оплачивается отдельно, по факту заявок</t>
  </si>
  <si>
    <t xml:space="preserve">СРОК ПО ДОГОВОРУ</t>
  </si>
  <si>
    <t xml:space="preserve">11,3 мес</t>
  </si>
  <si>
    <t xml:space="preserve">Про темп работы</t>
  </si>
  <si>
    <t xml:space="preserve">Объём работ — 3 715 человеко-часов, 16 829 035 ₽ с НДС.</t>
  </si>
  <si>
    <t xml:space="preserve">График рассчитан на ровный темп без переработок, а не на предельную загрузку команды.</t>
  </si>
  <si>
    <t xml:space="preserve">Оплата почасовая: срок сам по себе на стоимость не влияет.</t>
  </si>
  <si>
    <t xml:space="preserve">Почему график такой</t>
  </si>
  <si>
    <t xml:space="preserve">Узкое место в агентной разработке — не генерация кода, а человеческая приёмка требований.</t>
  </si>
  <si>
    <t xml:space="preserve">Именно её качество падает от спешки первым, а стоимость пропущенного дефекта в системе записи</t>
  </si>
  <si>
    <t xml:space="preserve">на 46 клиник несопоставима со стоимостью лишнего месяца в графике.</t>
  </si>
  <si>
    <t xml:space="preserve">Поэтому график построен под ровный темп. Если работа пойдёт быстрее, проект сдаётся раньше срока —</t>
  </si>
  <si>
    <t xml:space="preserve">единственный вид сюрприза, который заказчику нравится.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</si>
</sst>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C00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40404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6</xdr:col>
      <xdr:colOff>563400</xdr:colOff>
      <xdr:row>26</xdr:row>
      <xdr:rowOff>75960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448000"/>
          <a:ext cx="7238520" cy="3276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f aca="false">'Оценка стоимости'!E8</f>
        <v>14586880</v>
      </c>
    </row>
    <row r="3" customFormat="false" ht="15" hidden="false" customHeight="false" outlineLevel="0" collapsed="false">
      <c r="A3" s="2" t="s">
        <v>3</v>
      </c>
      <c r="B3" s="3" t="n">
        <f aca="false">'Оценка AI-OPEX'!E6</f>
        <v>1440772.693</v>
      </c>
    </row>
    <row r="4" customFormat="false" ht="15" hidden="false" customHeight="false" outlineLevel="0" collapsed="false">
      <c r="A4" s="2" t="s">
        <v>4</v>
      </c>
      <c r="B4" s="3" t="n">
        <f aca="false">SUM(B2:B3)</f>
        <v>16027652.693</v>
      </c>
    </row>
    <row r="5" customFormat="false" ht="15" hidden="false" customHeight="false" outlineLevel="0" collapsed="false">
      <c r="A5" s="2" t="s">
        <v>5</v>
      </c>
      <c r="B5" s="3" t="n">
        <f aca="false">B4*5%</f>
        <v>801382.63465</v>
      </c>
    </row>
    <row r="6" customFormat="false" ht="15" hidden="false" customHeight="false" outlineLevel="0" collapsed="false">
      <c r="A6" s="4" t="s">
        <v>6</v>
      </c>
      <c r="B6" s="5" t="n">
        <f aca="false">SUM(B4:B5)</f>
        <v>16829035.32765</v>
      </c>
    </row>
    <row r="8" customFormat="false" ht="15" hidden="false" customHeight="false" outlineLevel="0" collapsed="false">
      <c r="A8" s="6" t="s">
        <v>7</v>
      </c>
    </row>
    <row r="9" customFormat="false" ht="15" hidden="false" customHeight="false" outlineLevel="0" collapsed="false">
      <c r="A9" s="6" t="s">
        <v>8</v>
      </c>
    </row>
    <row r="10" customFormat="false" ht="15" hidden="false" customHeight="false" outlineLevel="0" collapsed="false">
      <c r="A10" s="6" t="s">
        <v>9</v>
      </c>
    </row>
    <row r="11" customFormat="false" ht="15" hidden="false" customHeight="false" outlineLevel="0" collapsed="false">
      <c r="A11" s="6" t="s">
        <v>10</v>
      </c>
    </row>
    <row r="13" customFormat="false" ht="18" hidden="false" customHeight="true" outlineLevel="0" collapsed="false"/>
    <row r="14" customFormat="false" ht="18" hidden="false" customHeight="true" outlineLevel="0" collapsed="false"/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7" t="n">
        <v>2103</v>
      </c>
      <c r="D2" s="7" t="n">
        <f aca="false">'Ставки людей'!C2</f>
        <v>3600</v>
      </c>
      <c r="E2" s="7" t="n">
        <f aca="false">C2*D2</f>
        <v>7570800</v>
      </c>
    </row>
    <row r="3" customFormat="false" ht="15" hidden="false" customHeight="false" outlineLevel="0" collapsed="false">
      <c r="A3" s="2" t="s">
        <v>16</v>
      </c>
      <c r="B3" s="2" t="s">
        <v>18</v>
      </c>
      <c r="C3" s="7" t="n">
        <v>1045</v>
      </c>
      <c r="D3" s="7" t="n">
        <f aca="false">'Ставки людей'!C2</f>
        <v>3600</v>
      </c>
      <c r="E3" s="7" t="n">
        <f aca="false">C3*D3</f>
        <v>3762000</v>
      </c>
    </row>
    <row r="4" customFormat="false" ht="15" hidden="false" customHeight="false" outlineLevel="0" collapsed="false">
      <c r="A4" s="2" t="s">
        <v>19</v>
      </c>
      <c r="B4" s="2" t="s">
        <v>20</v>
      </c>
      <c r="C4" s="7" t="n">
        <v>175</v>
      </c>
      <c r="D4" s="7" t="n">
        <f aca="false">'Ставки людей'!C4</f>
        <v>1600</v>
      </c>
      <c r="E4" s="7" t="n">
        <f aca="false">C4*D4</f>
        <v>280000</v>
      </c>
    </row>
    <row r="5" customFormat="false" ht="15" hidden="false" customHeight="false" outlineLevel="0" collapsed="false">
      <c r="A5" s="2" t="s">
        <v>21</v>
      </c>
      <c r="B5" s="2" t="s">
        <v>17</v>
      </c>
      <c r="C5" s="7" t="n">
        <v>392</v>
      </c>
      <c r="D5" s="7" t="n">
        <f aca="false">'Ставки людей'!C5</f>
        <v>3600</v>
      </c>
      <c r="E5" s="7" t="n">
        <f aca="false">C5*D5</f>
        <v>1411200</v>
      </c>
    </row>
    <row r="6" customFormat="false" ht="15" hidden="false" customHeight="false" outlineLevel="0" collapsed="false">
      <c r="A6" s="8" t="s">
        <v>22</v>
      </c>
      <c r="B6" s="9"/>
      <c r="C6" s="10" t="n">
        <f aca="false">SUM(C2:C5)</f>
        <v>3715</v>
      </c>
      <c r="D6" s="9"/>
      <c r="E6" s="10" t="n">
        <f aca="false">SUM(E2:E5)</f>
        <v>13024000</v>
      </c>
    </row>
    <row r="7" customFormat="false" ht="15" hidden="false" customHeight="false" outlineLevel="0" collapsed="false">
      <c r="D7" s="2" t="s">
        <v>23</v>
      </c>
      <c r="E7" s="7" t="n">
        <f aca="false">E6*12%</f>
        <v>1562880</v>
      </c>
    </row>
    <row r="8" customFormat="false" ht="15" hidden="false" customHeight="false" outlineLevel="0" collapsed="false">
      <c r="D8" s="11" t="s">
        <v>24</v>
      </c>
      <c r="E8" s="12" t="n">
        <f aca="false">E6+E7</f>
        <v>14586880</v>
      </c>
    </row>
    <row r="10" customFormat="false" ht="15" hidden="false" customHeight="false" outlineLevel="0" collapsed="false">
      <c r="A10" s="6" t="s">
        <v>25</v>
      </c>
    </row>
    <row r="11" customFormat="false" ht="15" hidden="false" customHeight="false" outlineLevel="0" collapsed="false">
      <c r="A11" s="6" t="s">
        <v>26</v>
      </c>
    </row>
    <row r="12" customFormat="false" ht="15" hidden="false" customHeight="false" outlineLevel="0" collapsed="false">
      <c r="A12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1</v>
      </c>
    </row>
    <row r="2" customFormat="false" ht="15" hidden="false" customHeight="false" outlineLevel="0" collapsed="false">
      <c r="A2" s="2" t="s">
        <v>32</v>
      </c>
      <c r="B2" s="2" t="s">
        <v>33</v>
      </c>
      <c r="C2" s="7" t="n">
        <v>8300</v>
      </c>
      <c r="D2" s="13" t="n">
        <v>79.46</v>
      </c>
      <c r="E2" s="7" t="n">
        <f aca="false">C2*D2</f>
        <v>659518</v>
      </c>
    </row>
    <row r="3" customFormat="false" ht="15" hidden="false" customHeight="false" outlineLevel="0" collapsed="false">
      <c r="A3" s="2" t="s">
        <v>34</v>
      </c>
      <c r="B3" s="2" t="s">
        <v>33</v>
      </c>
      <c r="C3" s="7" t="n">
        <v>6267</v>
      </c>
      <c r="D3" s="13" t="n">
        <v>79.46</v>
      </c>
      <c r="E3" s="7" t="n">
        <f aca="false">C3*D3</f>
        <v>497975.82</v>
      </c>
    </row>
    <row r="4" customFormat="false" ht="15" hidden="false" customHeight="false" outlineLevel="0" collapsed="false">
      <c r="A4" s="2" t="s">
        <v>35</v>
      </c>
      <c r="B4" s="2" t="s">
        <v>33</v>
      </c>
      <c r="C4" s="7" t="n">
        <v>1200</v>
      </c>
      <c r="D4" s="13" t="n">
        <v>79.46</v>
      </c>
      <c r="E4" s="7" t="n">
        <f aca="false">C4*D4</f>
        <v>95352</v>
      </c>
    </row>
    <row r="5" customFormat="false" ht="15" hidden="false" customHeight="false" outlineLevel="0" collapsed="false">
      <c r="A5" s="2" t="s">
        <v>36</v>
      </c>
      <c r="B5" s="14" t="s">
        <v>37</v>
      </c>
      <c r="C5" s="7" t="n">
        <f aca="false">SUM(C2:C4)*15%</f>
        <v>2365.05</v>
      </c>
      <c r="D5" s="13" t="n">
        <v>79.46</v>
      </c>
      <c r="E5" s="7" t="n">
        <f aca="false">C5*D5</f>
        <v>187926.873</v>
      </c>
    </row>
    <row r="6" customFormat="false" ht="15" hidden="false" customHeight="false" outlineLevel="0" collapsed="false">
      <c r="A6" s="11" t="s">
        <v>38</v>
      </c>
      <c r="B6" s="14" t="s">
        <v>37</v>
      </c>
      <c r="C6" s="15" t="n">
        <f aca="false">SUM(C2:C5)</f>
        <v>18132.05</v>
      </c>
      <c r="D6" s="13" t="n">
        <v>79.46</v>
      </c>
      <c r="E6" s="12" t="n">
        <f aca="false">C6*D6</f>
        <v>1440772.693</v>
      </c>
    </row>
    <row r="8" customFormat="false" ht="15" hidden="false" customHeight="false" outlineLevel="0" collapsed="false">
      <c r="A8" s="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4"/>
    <col collapsed="false" customWidth="true" hidden="false" outlineLevel="0" max="3" min="3" style="0" width="13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</row>
    <row r="2" customFormat="false" ht="30" hidden="false" customHeight="true" outlineLevel="0" collapsed="false">
      <c r="A2" s="11" t="s">
        <v>44</v>
      </c>
      <c r="B2" s="16" t="s">
        <v>45</v>
      </c>
      <c r="C2" s="7" t="n">
        <v>214</v>
      </c>
      <c r="D2" s="16" t="s">
        <v>46</v>
      </c>
    </row>
    <row r="3" customFormat="false" ht="30" hidden="false" customHeight="true" outlineLevel="0" collapsed="false">
      <c r="B3" s="16" t="s">
        <v>47</v>
      </c>
      <c r="C3" s="7" t="n">
        <v>190</v>
      </c>
      <c r="D3" s="16" t="s">
        <v>48</v>
      </c>
    </row>
    <row r="4" customFormat="false" ht="30" hidden="false" customHeight="true" outlineLevel="0" collapsed="false">
      <c r="B4" s="16" t="s">
        <v>49</v>
      </c>
      <c r="C4" s="7" t="n">
        <v>98</v>
      </c>
      <c r="D4" s="16" t="s">
        <v>50</v>
      </c>
    </row>
    <row r="5" customFormat="false" ht="30" hidden="false" customHeight="true" outlineLevel="0" collapsed="false">
      <c r="B5" s="16" t="s">
        <v>51</v>
      </c>
      <c r="C5" s="7" t="n">
        <v>58</v>
      </c>
      <c r="D5" s="16" t="s">
        <v>52</v>
      </c>
    </row>
    <row r="6" customFormat="false" ht="30" hidden="false" customHeight="true" outlineLevel="0" collapsed="false">
      <c r="A6" s="11" t="s">
        <v>53</v>
      </c>
      <c r="B6" s="16" t="s">
        <v>54</v>
      </c>
      <c r="C6" s="7" t="n">
        <v>96</v>
      </c>
      <c r="D6" s="16" t="s">
        <v>46</v>
      </c>
    </row>
    <row r="7" customFormat="false" ht="30" hidden="false" customHeight="true" outlineLevel="0" collapsed="false">
      <c r="B7" s="16" t="s">
        <v>55</v>
      </c>
      <c r="C7" s="7" t="n">
        <v>147</v>
      </c>
      <c r="D7" s="16" t="s">
        <v>48</v>
      </c>
    </row>
    <row r="8" customFormat="false" ht="30" hidden="false" customHeight="true" outlineLevel="0" collapsed="false">
      <c r="B8" s="16" t="s">
        <v>56</v>
      </c>
      <c r="C8" s="7" t="n">
        <v>39</v>
      </c>
      <c r="D8" s="16" t="s">
        <v>52</v>
      </c>
    </row>
    <row r="9" customFormat="false" ht="30" hidden="false" customHeight="true" outlineLevel="0" collapsed="false">
      <c r="A9" s="11" t="s">
        <v>57</v>
      </c>
      <c r="B9" s="16" t="s">
        <v>58</v>
      </c>
      <c r="C9" s="7" t="n">
        <v>88</v>
      </c>
      <c r="D9" s="16" t="s">
        <v>52</v>
      </c>
    </row>
    <row r="10" customFormat="false" ht="30" hidden="false" customHeight="true" outlineLevel="0" collapsed="false">
      <c r="B10" s="16" t="s">
        <v>59</v>
      </c>
      <c r="C10" s="7" t="n">
        <v>95</v>
      </c>
      <c r="D10" s="16" t="s">
        <v>48</v>
      </c>
    </row>
    <row r="11" customFormat="false" ht="30" hidden="false" customHeight="true" outlineLevel="0" collapsed="false">
      <c r="B11" s="16" t="s">
        <v>60</v>
      </c>
      <c r="C11" s="7" t="n">
        <v>36</v>
      </c>
      <c r="D11" s="16" t="s">
        <v>50</v>
      </c>
    </row>
    <row r="12" customFormat="false" ht="30" hidden="false" customHeight="true" outlineLevel="0" collapsed="false">
      <c r="A12" s="11" t="s">
        <v>61</v>
      </c>
      <c r="B12" s="16" t="s">
        <v>62</v>
      </c>
      <c r="C12" s="7" t="n">
        <v>55</v>
      </c>
      <c r="D12" s="16" t="s">
        <v>48</v>
      </c>
    </row>
    <row r="13" customFormat="false" ht="30" hidden="false" customHeight="true" outlineLevel="0" collapsed="false">
      <c r="B13" s="16" t="s">
        <v>63</v>
      </c>
      <c r="C13" s="7" t="n">
        <v>69</v>
      </c>
      <c r="D13" s="16" t="s">
        <v>50</v>
      </c>
    </row>
    <row r="14" customFormat="false" ht="30" hidden="false" customHeight="true" outlineLevel="0" collapsed="false">
      <c r="B14" s="16" t="s">
        <v>64</v>
      </c>
      <c r="C14" s="7" t="n">
        <v>222</v>
      </c>
      <c r="D14" s="16" t="s">
        <v>50</v>
      </c>
    </row>
    <row r="15" customFormat="false" ht="30" hidden="false" customHeight="true" outlineLevel="0" collapsed="false">
      <c r="A15" s="11" t="s">
        <v>65</v>
      </c>
      <c r="B15" s="16" t="s">
        <v>66</v>
      </c>
      <c r="C15" s="7" t="n">
        <v>95</v>
      </c>
      <c r="D15" s="16" t="s">
        <v>48</v>
      </c>
    </row>
    <row r="16" customFormat="false" ht="30" hidden="false" customHeight="true" outlineLevel="0" collapsed="false">
      <c r="B16" s="16" t="s">
        <v>67</v>
      </c>
      <c r="C16" s="7" t="n">
        <v>95</v>
      </c>
      <c r="D16" s="16" t="s">
        <v>68</v>
      </c>
    </row>
    <row r="17" customFormat="false" ht="30" hidden="false" customHeight="true" outlineLevel="0" collapsed="false">
      <c r="B17" s="16" t="s">
        <v>69</v>
      </c>
      <c r="C17" s="7" t="n">
        <v>95</v>
      </c>
      <c r="D17" s="16" t="s">
        <v>68</v>
      </c>
    </row>
    <row r="18" customFormat="false" ht="30" hidden="false" customHeight="true" outlineLevel="0" collapsed="false">
      <c r="B18" s="16" t="s">
        <v>70</v>
      </c>
      <c r="C18" s="7" t="n">
        <v>95</v>
      </c>
      <c r="D18" s="16" t="s">
        <v>50</v>
      </c>
    </row>
    <row r="19" customFormat="false" ht="30" hidden="false" customHeight="true" outlineLevel="0" collapsed="false">
      <c r="A19" s="11" t="s">
        <v>71</v>
      </c>
      <c r="B19" s="16" t="s">
        <v>72</v>
      </c>
      <c r="C19" s="7" t="n">
        <v>17</v>
      </c>
      <c r="D19" s="16" t="s">
        <v>52</v>
      </c>
    </row>
    <row r="20" customFormat="false" ht="30" hidden="false" customHeight="true" outlineLevel="0" collapsed="false">
      <c r="A20" s="11" t="s">
        <v>73</v>
      </c>
      <c r="B20" s="16" t="s">
        <v>74</v>
      </c>
      <c r="C20" s="7" t="n">
        <v>21</v>
      </c>
      <c r="D20" s="16" t="s">
        <v>52</v>
      </c>
    </row>
    <row r="21" customFormat="false" ht="30" hidden="false" customHeight="true" outlineLevel="0" collapsed="false">
      <c r="A21" s="11" t="s">
        <v>75</v>
      </c>
      <c r="B21" s="16" t="s">
        <v>76</v>
      </c>
      <c r="C21" s="7" t="n">
        <v>49</v>
      </c>
      <c r="D21" s="16" t="s">
        <v>77</v>
      </c>
    </row>
    <row r="22" customFormat="false" ht="30" hidden="false" customHeight="true" outlineLevel="0" collapsed="false">
      <c r="A22" s="11" t="s">
        <v>78</v>
      </c>
      <c r="B22" s="16" t="s">
        <v>79</v>
      </c>
      <c r="C22" s="7" t="n">
        <v>11</v>
      </c>
      <c r="D22" s="16" t="s">
        <v>50</v>
      </c>
    </row>
    <row r="23" customFormat="false" ht="30" hidden="false" customHeight="true" outlineLevel="0" collapsed="false">
      <c r="A23" s="11" t="s">
        <v>80</v>
      </c>
      <c r="B23" s="16" t="s">
        <v>81</v>
      </c>
      <c r="C23" s="7" t="n">
        <v>13</v>
      </c>
      <c r="D23" s="16" t="s">
        <v>52</v>
      </c>
    </row>
    <row r="24" customFormat="false" ht="30" hidden="false" customHeight="true" outlineLevel="0" collapsed="false">
      <c r="A24" s="11" t="s">
        <v>82</v>
      </c>
      <c r="B24" s="16" t="s">
        <v>83</v>
      </c>
      <c r="C24" s="7" t="n">
        <v>100</v>
      </c>
      <c r="D24" s="16" t="s">
        <v>50</v>
      </c>
    </row>
    <row r="25" customFormat="false" ht="30" hidden="false" customHeight="true" outlineLevel="0" collapsed="false">
      <c r="B25" s="16" t="s">
        <v>84</v>
      </c>
      <c r="C25" s="7" t="n">
        <v>105</v>
      </c>
      <c r="D25" s="16" t="s">
        <v>68</v>
      </c>
    </row>
    <row r="26" customFormat="false" ht="30" hidden="false" customHeight="true" outlineLevel="0" collapsed="false">
      <c r="B26" s="16" t="s">
        <v>85</v>
      </c>
      <c r="C26" s="7" t="n">
        <v>525</v>
      </c>
      <c r="D26" s="16" t="s">
        <v>50</v>
      </c>
    </row>
    <row r="27" customFormat="false" ht="30" hidden="false" customHeight="true" outlineLevel="0" collapsed="false">
      <c r="B27" s="16" t="s">
        <v>86</v>
      </c>
      <c r="C27" s="7" t="n">
        <v>83</v>
      </c>
      <c r="D27" s="16" t="s">
        <v>19</v>
      </c>
    </row>
    <row r="28" customFormat="false" ht="30" hidden="false" customHeight="true" outlineLevel="0" collapsed="false">
      <c r="A28" s="11" t="s">
        <v>87</v>
      </c>
      <c r="B28" s="16" t="s">
        <v>88</v>
      </c>
      <c r="C28" s="7" t="n">
        <v>92</v>
      </c>
      <c r="D28" s="16" t="s">
        <v>19</v>
      </c>
    </row>
    <row r="29" customFormat="false" ht="30" hidden="false" customHeight="true" outlineLevel="0" collapsed="false">
      <c r="A29" s="11" t="s">
        <v>89</v>
      </c>
      <c r="B29" s="16" t="s">
        <v>90</v>
      </c>
      <c r="C29" s="7" t="n">
        <v>520</v>
      </c>
      <c r="D29" s="16" t="s">
        <v>50</v>
      </c>
    </row>
    <row r="30" customFormat="false" ht="30" hidden="false" customHeight="true" outlineLevel="0" collapsed="false">
      <c r="A30" s="11" t="s">
        <v>91</v>
      </c>
      <c r="B30" s="16" t="s">
        <v>92</v>
      </c>
      <c r="C30" s="7" t="n">
        <v>392</v>
      </c>
      <c r="D30" s="16" t="s">
        <v>21</v>
      </c>
    </row>
    <row r="31" customFormat="false" ht="15" hidden="false" customHeight="false" outlineLevel="0" collapsed="false">
      <c r="A31" s="11" t="s">
        <v>93</v>
      </c>
      <c r="C31" s="12" t="n">
        <f aca="false">SUM(C2:C30)</f>
        <v>3715</v>
      </c>
    </row>
    <row r="33" customFormat="false" ht="15" hidden="false" customHeight="false" outlineLevel="0" collapsed="false">
      <c r="B33" s="6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1" t="s">
        <v>11</v>
      </c>
      <c r="B1" s="1" t="s">
        <v>12</v>
      </c>
      <c r="C1" s="1" t="s">
        <v>13</v>
      </c>
      <c r="D1" s="1" t="s">
        <v>95</v>
      </c>
    </row>
    <row r="2" customFormat="false" ht="15" hidden="false" customHeight="false" outlineLevel="0" collapsed="false">
      <c r="A2" s="2" t="s">
        <v>96</v>
      </c>
      <c r="B2" s="2" t="s">
        <v>17</v>
      </c>
      <c r="C2" s="7" t="n">
        <v>2103</v>
      </c>
      <c r="D2" s="17" t="n">
        <f aca="false">C2/$C$6</f>
        <v>0.566083445491252</v>
      </c>
    </row>
    <row r="3" customFormat="false" ht="15" hidden="false" customHeight="false" outlineLevel="0" collapsed="false">
      <c r="A3" s="2" t="s">
        <v>97</v>
      </c>
      <c r="B3" s="2" t="s">
        <v>17</v>
      </c>
      <c r="C3" s="7" t="n">
        <v>1045</v>
      </c>
      <c r="D3" s="17" t="n">
        <f aca="false">C3/$C$6</f>
        <v>0.281292059219381</v>
      </c>
    </row>
    <row r="4" customFormat="false" ht="15" hidden="false" customHeight="false" outlineLevel="0" collapsed="false">
      <c r="A4" s="2" t="s">
        <v>98</v>
      </c>
      <c r="B4" s="2" t="s">
        <v>20</v>
      </c>
      <c r="C4" s="7" t="n">
        <v>175</v>
      </c>
      <c r="D4" s="17" t="n">
        <f aca="false">C4/$C$6</f>
        <v>0.0471063257065949</v>
      </c>
    </row>
    <row r="5" customFormat="false" ht="15" hidden="false" customHeight="false" outlineLevel="0" collapsed="false">
      <c r="A5" s="2" t="s">
        <v>21</v>
      </c>
      <c r="B5" s="2" t="s">
        <v>17</v>
      </c>
      <c r="C5" s="7" t="n">
        <v>392</v>
      </c>
      <c r="D5" s="17" t="n">
        <f aca="false">C5/$C$6</f>
        <v>0.105518169582773</v>
      </c>
    </row>
    <row r="6" customFormat="false" ht="15" hidden="false" customHeight="false" outlineLevel="0" collapsed="false">
      <c r="A6" s="8" t="s">
        <v>99</v>
      </c>
      <c r="B6" s="9"/>
      <c r="C6" s="10" t="n">
        <f aca="false">SUM(C2:C5)</f>
        <v>3715</v>
      </c>
      <c r="D6" s="18" t="n">
        <f aca="false">SUM(D2:D5)</f>
        <v>1</v>
      </c>
    </row>
    <row r="8" customFormat="false" ht="15" hidden="false" customHeight="false" outlineLevel="0" collapsed="false">
      <c r="A8" s="6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4"/>
  </cols>
  <sheetData>
    <row r="1" customFormat="false" ht="27.75" hidden="false" customHeight="true" outlineLevel="0" collapsed="false">
      <c r="A1" s="1" t="s">
        <v>11</v>
      </c>
      <c r="B1" s="1" t="s">
        <v>12</v>
      </c>
      <c r="C1" s="1" t="s">
        <v>101</v>
      </c>
    </row>
    <row r="2" customFormat="false" ht="15" hidden="false" customHeight="false" outlineLevel="0" collapsed="false">
      <c r="A2" s="2" t="s">
        <v>16</v>
      </c>
      <c r="B2" s="2" t="s">
        <v>17</v>
      </c>
      <c r="C2" s="19" t="n">
        <v>3600</v>
      </c>
    </row>
    <row r="3" customFormat="false" ht="15" hidden="false" customHeight="false" outlineLevel="0" collapsed="false">
      <c r="A3" s="2" t="s">
        <v>16</v>
      </c>
      <c r="B3" s="2" t="s">
        <v>18</v>
      </c>
      <c r="C3" s="19" t="n">
        <v>3600</v>
      </c>
    </row>
    <row r="4" customFormat="false" ht="15" hidden="false" customHeight="false" outlineLevel="0" collapsed="false">
      <c r="A4" s="2" t="s">
        <v>19</v>
      </c>
      <c r="B4" s="2" t="s">
        <v>20</v>
      </c>
      <c r="C4" s="19" t="n">
        <v>1600</v>
      </c>
    </row>
    <row r="5" customFormat="false" ht="15" hidden="false" customHeight="false" outlineLevel="0" collapsed="false">
      <c r="A5" s="2" t="s">
        <v>21</v>
      </c>
      <c r="B5" s="2" t="s">
        <v>17</v>
      </c>
      <c r="C5" s="19" t="n">
        <v>3600</v>
      </c>
    </row>
    <row r="7" customFormat="false" ht="15" hidden="false" customHeight="false" outlineLevel="0" collapsed="false">
      <c r="A7" s="6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6"/>
  </cols>
  <sheetData>
    <row r="1" customFormat="false" ht="27.75" hidden="false" customHeight="true" outlineLevel="0" collapsed="false">
      <c r="A1" s="1" t="s">
        <v>103</v>
      </c>
      <c r="B1" s="1" t="s">
        <v>104</v>
      </c>
      <c r="C1" s="1" t="s">
        <v>105</v>
      </c>
    </row>
    <row r="2" customFormat="false" ht="37.5" hidden="false" customHeight="true" outlineLevel="0" collapsed="false">
      <c r="A2" s="20" t="s">
        <v>106</v>
      </c>
      <c r="B2" s="21" t="n">
        <v>136</v>
      </c>
      <c r="C2" s="22" t="s">
        <v>107</v>
      </c>
    </row>
    <row r="3" customFormat="false" ht="37.5" hidden="false" customHeight="true" outlineLevel="0" collapsed="false">
      <c r="A3" s="20" t="s">
        <v>108</v>
      </c>
      <c r="B3" s="21" t="n">
        <v>39</v>
      </c>
      <c r="C3" s="22" t="s">
        <v>109</v>
      </c>
    </row>
    <row r="4" customFormat="false" ht="37.5" hidden="false" customHeight="true" outlineLevel="0" collapsed="false">
      <c r="A4" s="20" t="s">
        <v>110</v>
      </c>
      <c r="B4" s="21" t="n">
        <v>1535</v>
      </c>
      <c r="C4" s="22" t="s">
        <v>111</v>
      </c>
    </row>
    <row r="5" customFormat="false" ht="37.5" hidden="false" customHeight="true" outlineLevel="0" collapsed="false">
      <c r="A5" s="20" t="s">
        <v>112</v>
      </c>
      <c r="B5" s="21" t="n">
        <v>65</v>
      </c>
      <c r="C5" s="22" t="s">
        <v>113</v>
      </c>
    </row>
    <row r="6" customFormat="false" ht="37.5" hidden="false" customHeight="true" outlineLevel="0" collapsed="false">
      <c r="A6" s="20" t="s">
        <v>114</v>
      </c>
      <c r="B6" s="21" t="n">
        <v>1579</v>
      </c>
      <c r="C6" s="22" t="s">
        <v>115</v>
      </c>
    </row>
    <row r="7" customFormat="false" ht="37.5" hidden="false" customHeight="true" outlineLevel="0" collapsed="false">
      <c r="A7" s="20" t="s">
        <v>116</v>
      </c>
      <c r="B7" s="21" t="n">
        <v>526</v>
      </c>
      <c r="C7" s="22" t="s">
        <v>117</v>
      </c>
    </row>
    <row r="8" customFormat="false" ht="37.5" hidden="false" customHeight="true" outlineLevel="0" collapsed="false">
      <c r="A8" s="20" t="s">
        <v>118</v>
      </c>
      <c r="B8" s="21" t="n">
        <v>702</v>
      </c>
      <c r="C8" s="22" t="s">
        <v>119</v>
      </c>
    </row>
    <row r="9" customFormat="false" ht="37.5" hidden="false" customHeight="true" outlineLevel="0" collapsed="false">
      <c r="A9" s="20" t="s">
        <v>120</v>
      </c>
      <c r="B9" s="21" t="n">
        <v>392</v>
      </c>
      <c r="C9" s="22" t="s">
        <v>121</v>
      </c>
    </row>
    <row r="10" customFormat="false" ht="37.5" hidden="false" customHeight="true" outlineLevel="0" collapsed="false">
      <c r="A10" s="20" t="s">
        <v>122</v>
      </c>
      <c r="B10" s="21" t="n">
        <v>486</v>
      </c>
      <c r="C10" s="22" t="s">
        <v>117</v>
      </c>
    </row>
    <row r="11" customFormat="false" ht="37.5" hidden="false" customHeight="true" outlineLevel="0" collapsed="false">
      <c r="A11" s="20" t="s">
        <v>123</v>
      </c>
      <c r="B11" s="21" t="n">
        <v>1522</v>
      </c>
      <c r="C11" s="22" t="s">
        <v>117</v>
      </c>
    </row>
    <row r="12" customFormat="false" ht="37.5" hidden="false" customHeight="true" outlineLevel="0" collapsed="false">
      <c r="A12" s="20" t="s">
        <v>124</v>
      </c>
      <c r="B12" s="21" t="n">
        <v>820</v>
      </c>
      <c r="C12" s="22" t="s">
        <v>125</v>
      </c>
    </row>
    <row r="13" customFormat="false" ht="37.5" hidden="false" customHeight="true" outlineLevel="0" collapsed="false">
      <c r="A13" s="20" t="s">
        <v>126</v>
      </c>
      <c r="B13" s="21" t="s">
        <v>127</v>
      </c>
      <c r="C13" s="22" t="s">
        <v>128</v>
      </c>
    </row>
    <row r="14" customFormat="false" ht="37.5" hidden="false" customHeight="true" outlineLevel="0" collapsed="false">
      <c r="A14" s="20" t="s">
        <v>129</v>
      </c>
      <c r="B14" s="21" t="s">
        <v>127</v>
      </c>
      <c r="C14" s="22" t="s">
        <v>130</v>
      </c>
    </row>
    <row r="15" customFormat="false" ht="37.5" hidden="false" customHeight="true" outlineLevel="0" collapsed="false">
      <c r="A15" s="20" t="s">
        <v>131</v>
      </c>
      <c r="B15" s="21" t="s">
        <v>127</v>
      </c>
      <c r="C15" s="22" t="s">
        <v>132</v>
      </c>
    </row>
    <row r="16" customFormat="false" ht="37.5" hidden="false" customHeight="true" outlineLevel="0" collapsed="false">
      <c r="A16" s="20" t="s">
        <v>133</v>
      </c>
      <c r="B16" s="21" t="s">
        <v>127</v>
      </c>
      <c r="C16" s="22" t="s">
        <v>134</v>
      </c>
    </row>
    <row r="17" customFormat="false" ht="37.5" hidden="false" customHeight="true" outlineLevel="0" collapsed="false">
      <c r="A17" s="20" t="s">
        <v>135</v>
      </c>
      <c r="B17" s="21" t="s">
        <v>127</v>
      </c>
      <c r="C17" s="22" t="s">
        <v>136</v>
      </c>
    </row>
    <row r="18" customFormat="false" ht="37.5" hidden="false" customHeight="true" outlineLevel="0" collapsed="false">
      <c r="A18" s="20" t="s">
        <v>137</v>
      </c>
      <c r="B18" s="21" t="n">
        <v>422</v>
      </c>
      <c r="C18" s="22" t="s">
        <v>138</v>
      </c>
    </row>
    <row r="19" customFormat="false" ht="15" hidden="false" customHeight="false" outlineLevel="0" collapsed="false">
      <c r="A19" s="11" t="s">
        <v>139</v>
      </c>
      <c r="B19" s="15" t="n">
        <f aca="false">SUM(B2:B18)</f>
        <v>8224</v>
      </c>
      <c r="C19" s="11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92"/>
  </cols>
  <sheetData>
    <row r="1" customFormat="false" ht="27.75" hidden="false" customHeight="true" outlineLevel="0" collapsed="false">
      <c r="A1" s="1" t="s">
        <v>141</v>
      </c>
      <c r="B1" s="1" t="s">
        <v>142</v>
      </c>
      <c r="C1" s="1" t="s">
        <v>143</v>
      </c>
    </row>
    <row r="2" customFormat="false" ht="15" hidden="false" customHeight="false" outlineLevel="0" collapsed="false">
      <c r="A2" s="2" t="s">
        <v>144</v>
      </c>
      <c r="B2" s="2" t="s">
        <v>145</v>
      </c>
      <c r="C2" s="23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3" t="s">
        <v>149</v>
      </c>
    </row>
    <row r="4" customFormat="false" ht="15" hidden="false" customHeight="false" outlineLevel="0" collapsed="false">
      <c r="A4" s="2" t="s">
        <v>150</v>
      </c>
      <c r="B4" s="2" t="s">
        <v>151</v>
      </c>
      <c r="C4" s="23" t="s">
        <v>152</v>
      </c>
    </row>
    <row r="5" customFormat="false" ht="15" hidden="false" customHeight="false" outlineLevel="0" collapsed="false">
      <c r="A5" s="4" t="s">
        <v>153</v>
      </c>
      <c r="B5" s="4" t="s">
        <v>154</v>
      </c>
      <c r="C5" s="24"/>
    </row>
    <row r="7" customFormat="false" ht="15" hidden="false" customHeight="false" outlineLevel="0" collapsed="false">
      <c r="A7" s="11" t="s">
        <v>155</v>
      </c>
    </row>
    <row r="8" customFormat="false" ht="15" hidden="false" customHeight="false" outlineLevel="0" collapsed="false">
      <c r="A8" s="25" t="s">
        <v>156</v>
      </c>
      <c r="B8" s="25"/>
      <c r="C8" s="25"/>
    </row>
    <row r="9" customFormat="false" ht="15" hidden="false" customHeight="false" outlineLevel="0" collapsed="false">
      <c r="A9" s="25" t="s">
        <v>157</v>
      </c>
      <c r="B9" s="25"/>
      <c r="C9" s="25"/>
    </row>
    <row r="10" customFormat="false" ht="15" hidden="false" customHeight="false" outlineLevel="0" collapsed="false">
      <c r="A10" s="25" t="s">
        <v>158</v>
      </c>
      <c r="B10" s="25"/>
      <c r="C10" s="25"/>
    </row>
    <row r="12" customFormat="false" ht="15" hidden="false" customHeight="false" outlineLevel="0" collapsed="false">
      <c r="A12" s="11" t="s">
        <v>159</v>
      </c>
    </row>
    <row r="13" customFormat="false" ht="15" hidden="false" customHeight="false" outlineLevel="0" collapsed="false">
      <c r="A13" s="25" t="s">
        <v>160</v>
      </c>
      <c r="B13" s="25"/>
      <c r="C13" s="25"/>
    </row>
    <row r="14" customFormat="false" ht="15" hidden="false" customHeight="false" outlineLevel="0" collapsed="false">
      <c r="A14" s="25" t="s">
        <v>161</v>
      </c>
      <c r="B14" s="25"/>
      <c r="C14" s="25"/>
    </row>
    <row r="15" customFormat="false" ht="15" hidden="false" customHeight="false" outlineLevel="0" collapsed="false">
      <c r="A15" s="25" t="s">
        <v>162</v>
      </c>
      <c r="B15" s="25"/>
      <c r="C15" s="25"/>
    </row>
    <row r="16" customFormat="false" ht="15" hidden="false" customHeight="false" outlineLevel="0" collapsed="false">
      <c r="A16" s="26"/>
      <c r="B16" s="26"/>
      <c r="C16" s="26"/>
    </row>
    <row r="17" customFormat="false" ht="15" hidden="false" customHeight="false" outlineLevel="0" collapsed="false">
      <c r="A17" s="25" t="s">
        <v>163</v>
      </c>
      <c r="B17" s="25"/>
      <c r="C17" s="25"/>
    </row>
    <row r="18" customFormat="false" ht="15" hidden="false" customHeight="false" outlineLevel="0" collapsed="false">
      <c r="A18" s="25" t="s">
        <v>164</v>
      </c>
      <c r="B18" s="25"/>
      <c r="C18" s="25"/>
    </row>
  </sheetData>
  <mergeCells count="9">
    <mergeCell ref="A8:C8"/>
    <mergeCell ref="A9:C9"/>
    <mergeCell ref="A10:C10"/>
    <mergeCell ref="A13:C13"/>
    <mergeCell ref="A14:C14"/>
    <mergeCell ref="A15:C15"/>
    <mergeCell ref="A16:C16"/>
    <mergeCell ref="A17:C17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2026-08-03T17:28:30Z</dcterms:created>
  <dc:creator>openpyxl</dc:creator>
  <dc:description/>
  <dc:language>en-US</dc:language>
  <cp:lastModifiedBy/>
  <dcterms:modified xsi:type="dcterms:W3CDTF">2026-08-03T17:28:30Z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